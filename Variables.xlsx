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han\OneDrive\Documents\_Current_Semester\ME_354\Project\"/>
    </mc:Choice>
  </mc:AlternateContent>
  <xr:revisionPtr revIDLastSave="0" documentId="13_ncr:1_{C1BD12FC-6732-4541-ABEF-717AE908256F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D15" i="3"/>
  <c r="E14" i="3"/>
  <c r="D14" i="3"/>
  <c r="E13" i="3"/>
  <c r="D13" i="3"/>
  <c r="E12" i="3"/>
  <c r="D12" i="3"/>
  <c r="E11" i="3"/>
  <c r="D11" i="3"/>
  <c r="H10" i="3"/>
  <c r="G10" i="3"/>
  <c r="E10" i="3"/>
  <c r="D10" i="3"/>
  <c r="H9" i="3"/>
  <c r="G9" i="3"/>
  <c r="E9" i="3"/>
  <c r="D9" i="3"/>
  <c r="J8" i="3"/>
  <c r="I8" i="3"/>
  <c r="E8" i="3"/>
  <c r="D8" i="3"/>
  <c r="B8" i="3"/>
  <c r="J7" i="3"/>
  <c r="I7" i="3"/>
  <c r="E7" i="3"/>
  <c r="D7" i="3"/>
  <c r="B7" i="3"/>
  <c r="E6" i="3"/>
  <c r="D6" i="3"/>
  <c r="E5" i="3"/>
  <c r="D5" i="3"/>
  <c r="E4" i="3"/>
  <c r="D4" i="3"/>
  <c r="E3" i="3"/>
  <c r="D3" i="3"/>
  <c r="E2" i="3"/>
  <c r="D2" i="3"/>
  <c r="B2" i="3"/>
</calcChain>
</file>

<file path=xl/sharedStrings.xml><?xml version="1.0" encoding="utf-8"?>
<sst xmlns="http://schemas.openxmlformats.org/spreadsheetml/2006/main" count="69" uniqueCount="57">
  <si>
    <t>Discrete?</t>
  </si>
  <si>
    <t>From List?</t>
  </si>
  <si>
    <t>Min Bounds</t>
  </si>
  <si>
    <t>Max Bounds</t>
  </si>
  <si>
    <t>List</t>
  </si>
  <si>
    <t>2,4,5,10</t>
  </si>
  <si>
    <t>0.5,0.8,1,1.5,2,2.5,3,4,5,6</t>
  </si>
  <si>
    <t>stage 1 module</t>
  </si>
  <si>
    <t>stage 2 module</t>
  </si>
  <si>
    <t>L_1_over_L</t>
  </si>
  <si>
    <t>L_2_over_L</t>
  </si>
  <si>
    <t>stage 1 face width</t>
  </si>
  <si>
    <t>stage 2 face width</t>
  </si>
  <si>
    <t>stage 1 gear position</t>
  </si>
  <si>
    <t>stage 2 gear position</t>
  </si>
  <si>
    <t>14.5,20</t>
  </si>
  <si>
    <t>stage 1 pressure angle</t>
  </si>
  <si>
    <t>stage 2 pressure angle</t>
  </si>
  <si>
    <t>d_shaft_gear_1</t>
  </si>
  <si>
    <t>d_shaft_gear_2</t>
  </si>
  <si>
    <t>Min Opt Bounds</t>
  </si>
  <si>
    <t>Max Opt Bounds</t>
  </si>
  <si>
    <t>Notes</t>
  </si>
  <si>
    <t>stage 1  gear ratio</t>
  </si>
  <si>
    <t>gear_ratio_idx_1</t>
  </si>
  <si>
    <t>module_idx_1</t>
  </si>
  <si>
    <t>module_idx_2</t>
  </si>
  <si>
    <t>phi_idx_1</t>
  </si>
  <si>
    <t>phi_idx_2</t>
  </si>
  <si>
    <t>Name</t>
  </si>
  <si>
    <t>gear_ratio_1</t>
  </si>
  <si>
    <t>module_1</t>
  </si>
  <si>
    <t>module_2</t>
  </si>
  <si>
    <t>phi_1</t>
  </si>
  <si>
    <t>phi_2</t>
  </si>
  <si>
    <t>F_1</t>
  </si>
  <si>
    <t>F_2</t>
  </si>
  <si>
    <t>L_1</t>
  </si>
  <si>
    <t>L_2</t>
  </si>
  <si>
    <t>d_shaft_shoulder</t>
  </si>
  <si>
    <t>Opt Name</t>
  </si>
  <si>
    <t>N_2</t>
  </si>
  <si>
    <t>N_4</t>
  </si>
  <si>
    <t>N_2_minus_min</t>
  </si>
  <si>
    <t>N_4_minus_min</t>
  </si>
  <si>
    <t>number of teeth in gear 2</t>
  </si>
  <si>
    <t>number of teeth in gear 4</t>
  </si>
  <si>
    <t>F_1_over_module_1</t>
  </si>
  <si>
    <t>F_2_over_module_2</t>
  </si>
  <si>
    <t>d_shaft_shoulder_over_max_d_shaft_gear</t>
  </si>
  <si>
    <t xml:space="preserve">nominal gear ID, shaft diameter for stage 1 gear side </t>
  </si>
  <si>
    <t xml:space="preserve">nominal gear ID, shaft diameter for stage 2 gear side </t>
  </si>
  <si>
    <t>shoulder diameter</t>
  </si>
  <si>
    <t>Unit</t>
  </si>
  <si>
    <t>mm</t>
  </si>
  <si>
    <t>deg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</si>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</sst>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E52-1B68-4A0E-B379-1CEA3C44D0C6}">
  <dimension ref="A1:K15"/>
  <sheetViews>
    <sheetView tabSelected="1" workbookViewId="0">
      <selection activeCell="E20" sqref="E20"/>
    </sheetView>
  </sheetViews>
  <sheetFormatPr defaultRowHeight="14.4" x14ac:dyDescent="0.55000000000000004"/>
  <cols>
    <col min="1" max="1" width="14.734375" customWidth="1"/>
    <col min="2" max="2" width="8" customWidth="1"/>
    <col min="3" max="3" width="34.734375" customWidth="1"/>
    <col min="6" max="6" width="21.1015625" customWidth="1"/>
    <col min="7" max="7" width="9.89453125" customWidth="1"/>
    <col min="8" max="8" width="10.1015625" customWidth="1"/>
    <col min="9" max="9" width="13.5234375" customWidth="1"/>
    <col min="10" max="10" width="13.47265625" customWidth="1"/>
  </cols>
  <sheetData>
    <row r="1" spans="1:11" x14ac:dyDescent="0.55000000000000004">
      <c r="A1" t="s">
        <v>29</v>
      </c>
      <c r="B1" t="s">
        <v>53</v>
      </c>
      <c r="C1" t="s">
        <v>40</v>
      </c>
      <c r="D1" t="s">
        <v>0</v>
      </c>
      <c r="E1" t="s">
        <v>1</v>
      </c>
      <c r="F1" t="s">
        <v>4</v>
      </c>
      <c r="G1" t="s">
        <v>2</v>
      </c>
      <c r="H1" t="s">
        <v>3</v>
      </c>
      <c r="I1" t="s">
        <v>20</v>
      </c>
      <c r="J1" t="s">
        <v>21</v>
      </c>
      <c r="K1" t="s">
        <v>22</v>
      </c>
    </row>
    <row r="2" spans="1:11" x14ac:dyDescent="0.55000000000000004">
      <c r="A2" t="s">
        <v>30</v>
      </c>
      <c r="B2" t="e">
        <f>NA()</f>
        <v>#N/A</v>
      </c>
      <c r="C2" t="s">
        <v>24</v>
      </c>
      <c r="D2" t="b">
        <f>TRUE</f>
        <v>1</v>
      </c>
      <c r="E2" t="b">
        <f>TRUE</f>
        <v>1</v>
      </c>
      <c r="F2" t="s">
        <v>5</v>
      </c>
      <c r="K2" t="s">
        <v>23</v>
      </c>
    </row>
    <row r="3" spans="1:11" x14ac:dyDescent="0.55000000000000004">
      <c r="A3" t="s">
        <v>31</v>
      </c>
      <c r="B3" t="s">
        <v>54</v>
      </c>
      <c r="C3" t="s">
        <v>25</v>
      </c>
      <c r="D3" t="b">
        <f>TRUE</f>
        <v>1</v>
      </c>
      <c r="E3" t="b">
        <f>TRUE</f>
        <v>1</v>
      </c>
      <c r="F3" t="s">
        <v>6</v>
      </c>
      <c r="K3" t="s">
        <v>7</v>
      </c>
    </row>
    <row r="4" spans="1:11" x14ac:dyDescent="0.55000000000000004">
      <c r="A4" t="s">
        <v>32</v>
      </c>
      <c r="B4" t="s">
        <v>54</v>
      </c>
      <c r="C4" t="s">
        <v>26</v>
      </c>
      <c r="D4" t="b">
        <f>TRUE</f>
        <v>1</v>
      </c>
      <c r="E4" t="b">
        <f>TRUE</f>
        <v>1</v>
      </c>
      <c r="F4" t="s">
        <v>6</v>
      </c>
      <c r="K4" t="s">
        <v>8</v>
      </c>
    </row>
    <row r="5" spans="1:11" x14ac:dyDescent="0.55000000000000004">
      <c r="A5" t="s">
        <v>33</v>
      </c>
      <c r="B5" t="s">
        <v>55</v>
      </c>
      <c r="C5" t="s">
        <v>27</v>
      </c>
      <c r="D5" t="b">
        <f>TRUE</f>
        <v>1</v>
      </c>
      <c r="E5" t="b">
        <f>TRUE</f>
        <v>1</v>
      </c>
      <c r="F5" t="s">
        <v>15</v>
      </c>
      <c r="K5" t="s">
        <v>16</v>
      </c>
    </row>
    <row r="6" spans="1:11" x14ac:dyDescent="0.55000000000000004">
      <c r="A6" t="s">
        <v>34</v>
      </c>
      <c r="B6" t="s">
        <v>55</v>
      </c>
      <c r="C6" t="s">
        <v>28</v>
      </c>
      <c r="D6" t="b">
        <f>TRUE</f>
        <v>1</v>
      </c>
      <c r="E6" t="b">
        <f>TRUE</f>
        <v>1</v>
      </c>
      <c r="F6" t="s">
        <v>15</v>
      </c>
      <c r="K6" t="s">
        <v>17</v>
      </c>
    </row>
    <row r="7" spans="1:11" x14ac:dyDescent="0.55000000000000004">
      <c r="A7" t="s">
        <v>41</v>
      </c>
      <c r="B7" t="e">
        <f>NA()</f>
        <v>#N/A</v>
      </c>
      <c r="C7" t="s">
        <v>43</v>
      </c>
      <c r="D7" t="b">
        <f>TRUE</f>
        <v>1</v>
      </c>
      <c r="E7" t="b">
        <f>FALSE</f>
        <v>0</v>
      </c>
      <c r="G7">
        <v>0</v>
      </c>
      <c r="H7">
        <v>15</v>
      </c>
      <c r="I7">
        <f>G7</f>
        <v>0</v>
      </c>
      <c r="J7">
        <f>H7</f>
        <v>15</v>
      </c>
      <c r="K7" t="s">
        <v>45</v>
      </c>
    </row>
    <row r="8" spans="1:11" x14ac:dyDescent="0.55000000000000004">
      <c r="A8" t="s">
        <v>42</v>
      </c>
      <c r="B8" t="e">
        <f>NA()</f>
        <v>#N/A</v>
      </c>
      <c r="C8" t="s">
        <v>44</v>
      </c>
      <c r="D8" t="b">
        <f>TRUE</f>
        <v>1</v>
      </c>
      <c r="E8" t="b">
        <f>FALSE</f>
        <v>0</v>
      </c>
      <c r="G8">
        <v>0</v>
      </c>
      <c r="H8">
        <v>15</v>
      </c>
      <c r="I8">
        <f>G8</f>
        <v>0</v>
      </c>
      <c r="J8">
        <f>H8</f>
        <v>15</v>
      </c>
      <c r="K8" t="s">
        <v>46</v>
      </c>
    </row>
    <row r="9" spans="1:11" x14ac:dyDescent="0.55000000000000004">
      <c r="A9" t="s">
        <v>35</v>
      </c>
      <c r="B9" t="s">
        <v>54</v>
      </c>
      <c r="C9" t="s">
        <v>47</v>
      </c>
      <c r="D9" t="b">
        <f>FALSE</f>
        <v>0</v>
      </c>
      <c r="E9" t="b">
        <f>FALSE</f>
        <v>0</v>
      </c>
      <c r="G9">
        <f>3*PI()</f>
        <v>9.4247779607693793</v>
      </c>
      <c r="H9">
        <f>5*PI()</f>
        <v>15.707963267948966</v>
      </c>
      <c r="I9">
        <v>0</v>
      </c>
      <c r="J9">
        <v>1</v>
      </c>
      <c r="K9" t="s">
        <v>11</v>
      </c>
    </row>
    <row r="10" spans="1:11" x14ac:dyDescent="0.55000000000000004">
      <c r="A10" t="s">
        <v>36</v>
      </c>
      <c r="B10" t="s">
        <v>54</v>
      </c>
      <c r="C10" t="s">
        <v>48</v>
      </c>
      <c r="D10" t="b">
        <f>FALSE</f>
        <v>0</v>
      </c>
      <c r="E10" t="b">
        <f>FALSE</f>
        <v>0</v>
      </c>
      <c r="G10">
        <f>3*PI()</f>
        <v>9.4247779607693793</v>
      </c>
      <c r="H10">
        <f>5*PI()</f>
        <v>15.707963267948966</v>
      </c>
      <c r="I10">
        <v>0</v>
      </c>
      <c r="J10">
        <v>1</v>
      </c>
      <c r="K10" t="s">
        <v>12</v>
      </c>
    </row>
    <row r="11" spans="1:11" x14ac:dyDescent="0.55000000000000004">
      <c r="A11" t="s">
        <v>37</v>
      </c>
      <c r="B11" t="s">
        <v>56</v>
      </c>
      <c r="C11" t="s">
        <v>9</v>
      </c>
      <c r="D11" t="b">
        <f>FALSE</f>
        <v>0</v>
      </c>
      <c r="E11" t="b">
        <f>FALSE</f>
        <v>0</v>
      </c>
      <c r="G11">
        <v>0.1</v>
      </c>
      <c r="H11">
        <v>0.5</v>
      </c>
      <c r="I11">
        <v>0</v>
      </c>
      <c r="J11">
        <v>1</v>
      </c>
      <c r="K11" t="s">
        <v>13</v>
      </c>
    </row>
    <row r="12" spans="1:11" x14ac:dyDescent="0.55000000000000004">
      <c r="A12" t="s">
        <v>38</v>
      </c>
      <c r="B12" t="s">
        <v>56</v>
      </c>
      <c r="C12" t="s">
        <v>10</v>
      </c>
      <c r="D12" t="b">
        <f>FALSE</f>
        <v>0</v>
      </c>
      <c r="E12" t="b">
        <f>FALSE</f>
        <v>0</v>
      </c>
      <c r="G12">
        <v>0.5</v>
      </c>
      <c r="H12">
        <v>0.9</v>
      </c>
      <c r="I12">
        <v>0</v>
      </c>
      <c r="J12">
        <v>1</v>
      </c>
      <c r="K12" t="s">
        <v>14</v>
      </c>
    </row>
    <row r="13" spans="1:11" x14ac:dyDescent="0.55000000000000004">
      <c r="A13" t="s">
        <v>18</v>
      </c>
      <c r="B13" t="s">
        <v>54</v>
      </c>
      <c r="C13" t="s">
        <v>18</v>
      </c>
      <c r="D13" t="b">
        <f>FALSE</f>
        <v>0</v>
      </c>
      <c r="E13" t="b">
        <f>FALSE</f>
        <v>0</v>
      </c>
      <c r="G13">
        <v>5</v>
      </c>
      <c r="H13">
        <v>50</v>
      </c>
      <c r="I13">
        <v>0</v>
      </c>
      <c r="J13">
        <v>1</v>
      </c>
      <c r="K13" t="s">
        <v>50</v>
      </c>
    </row>
    <row r="14" spans="1:11" x14ac:dyDescent="0.55000000000000004">
      <c r="A14" t="s">
        <v>19</v>
      </c>
      <c r="B14" t="s">
        <v>54</v>
      </c>
      <c r="C14" t="s">
        <v>19</v>
      </c>
      <c r="D14" t="b">
        <f>FALSE</f>
        <v>0</v>
      </c>
      <c r="E14" t="b">
        <f>FALSE</f>
        <v>0</v>
      </c>
      <c r="G14">
        <v>5</v>
      </c>
      <c r="H14">
        <v>35</v>
      </c>
      <c r="I14">
        <v>0</v>
      </c>
      <c r="J14">
        <v>1</v>
      </c>
      <c r="K14" t="s">
        <v>51</v>
      </c>
    </row>
    <row r="15" spans="1:11" x14ac:dyDescent="0.55000000000000004">
      <c r="A15" t="s">
        <v>39</v>
      </c>
      <c r="B15" t="s">
        <v>54</v>
      </c>
      <c r="C15" t="s">
        <v>49</v>
      </c>
      <c r="D15" t="b">
        <f>FALSE</f>
        <v>0</v>
      </c>
      <c r="E15" t="b">
        <f>FALSE</f>
        <v>0</v>
      </c>
      <c r="G15">
        <v>1.01</v>
      </c>
      <c r="H15">
        <v>2</v>
      </c>
      <c r="I15">
        <v>0</v>
      </c>
      <c r="J15">
        <v>1</v>
      </c>
      <c r="K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Patel</dc:creator>
  <cp:lastModifiedBy>Rohan B Patel</cp:lastModifiedBy>
  <dcterms:created xsi:type="dcterms:W3CDTF">2015-06-05T18:17:20Z</dcterms:created>
  <dcterms:modified xsi:type="dcterms:W3CDTF">2026-05-03T21:52:11Z</dcterms:modified>
</cp:coreProperties>
</file>